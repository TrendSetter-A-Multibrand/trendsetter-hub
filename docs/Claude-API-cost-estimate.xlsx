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Тарифы" sheetId="2" state="visible" r:id="rId2"/>
    <sheet xmlns:r="http://schemas.openxmlformats.org/officeDocument/2006/relationships" name="Отборки" sheetId="3" state="visible" r:id="rId3"/>
    <sheet xmlns:r="http://schemas.openxmlformats.org/officeDocument/2006/relationships" name="Другие моду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0"/>
    <numFmt numFmtId="165" formatCode="$#,##0.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0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9" fontId="3" fillId="3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4" customWidth="1" min="4" max="4"/>
    <col width="26" customWidth="1" min="5" max="5"/>
    <col width="18" customWidth="1" min="6" max="6"/>
  </cols>
  <sheetData>
    <row r="1">
      <c r="A1" s="1" t="inlineStr">
        <is>
          <t>Итого: стоимость Claude API для хаба в месяц</t>
        </is>
      </c>
    </row>
    <row r="2">
      <c r="A2">
        <f>"Расчёт для модели: "&amp;Тарифы!B10&amp;IF(Тарифы!B15=1," (Batch API −50%)","")</f>
        <v/>
      </c>
    </row>
    <row r="4">
      <c r="A4" s="2" t="inlineStr">
        <is>
          <t>Модуль</t>
        </is>
      </c>
      <c r="B4" s="2" t="inlineStr">
        <is>
          <t>В месяц, $</t>
        </is>
      </c>
      <c r="C4" s="2" t="inlineStr">
        <is>
          <t>В год, $</t>
        </is>
      </c>
    </row>
    <row r="5">
      <c r="A5" t="inlineStr">
        <is>
          <t>Закупки / Отборки</t>
        </is>
      </c>
      <c r="B5" s="3">
        <f>Отборки!G10</f>
        <v/>
      </c>
      <c r="C5" s="3">
        <f>B5*12</f>
        <v/>
      </c>
    </row>
    <row r="6">
      <c r="A6" t="inlineStr">
        <is>
          <t>Другие модули (WB-карточки, Аналитика, Ценообразование)</t>
        </is>
      </c>
      <c r="B6" s="3">
        <f>'Другие модули'!F10</f>
        <v/>
      </c>
      <c r="C6" s="3">
        <f>B6*12</f>
        <v/>
      </c>
    </row>
    <row r="7">
      <c r="A7" s="4" t="inlineStr">
        <is>
          <t>ВСЕГО</t>
        </is>
      </c>
      <c r="B7" s="5">
        <f>B5+B6</f>
        <v/>
      </c>
      <c r="C7" s="3">
        <f>B7*12</f>
        <v/>
      </c>
    </row>
    <row r="9">
      <c r="A9" s="4" t="inlineStr">
        <is>
          <t>Те же объёмы на разных моделях (с учётом Batch API, если включён на листе «Тарифы»)</t>
        </is>
      </c>
    </row>
    <row r="10">
      <c r="A10" s="2" t="inlineStr">
        <is>
          <t>Модель</t>
        </is>
      </c>
      <c r="B10" s="2" t="inlineStr">
        <is>
          <t>В месяц, $</t>
        </is>
      </c>
      <c r="C10" s="2" t="inlineStr">
        <is>
          <t>В год, $</t>
        </is>
      </c>
      <c r="E10" t="inlineStr">
        <is>
          <t>Токенов в месяц: вход</t>
        </is>
      </c>
      <c r="F10" s="6">
        <f>Отборки!H10+'Другие модули'!G10</f>
        <v/>
      </c>
    </row>
    <row r="11">
      <c r="A11">
        <f>Тарифы!A5</f>
        <v/>
      </c>
      <c r="B11" s="3">
        <f>($F$10*Тарифы!B5+$F$11*Тарифы!C5)/1000000*Тарифы!$B$16</f>
        <v/>
      </c>
      <c r="C11" s="3">
        <f>B11*12</f>
        <v/>
      </c>
      <c r="E11" t="inlineStr">
        <is>
          <t>Токенов в месяц: выход</t>
        </is>
      </c>
      <c r="F11" s="6">
        <f>Отборки!I10+'Другие модули'!H10</f>
        <v/>
      </c>
    </row>
    <row r="12">
      <c r="A12">
        <f>Тарифы!A6</f>
        <v/>
      </c>
      <c r="B12" s="3">
        <f>($F$10*Тарифы!B6+$F$11*Тарифы!C6)/1000000*Тарифы!$B$16</f>
        <v/>
      </c>
      <c r="C12" s="3">
        <f>B12*12</f>
        <v/>
      </c>
    </row>
    <row r="13">
      <c r="A13">
        <f>Тарифы!A7</f>
        <v/>
      </c>
      <c r="B13" s="3">
        <f>($F$10*Тарифы!B7+$F$11*Тарифы!C7)/1000000*Тарифы!$B$16</f>
        <v/>
      </c>
      <c r="C13" s="3">
        <f>B13*12</f>
        <v/>
      </c>
    </row>
    <row r="14">
      <c r="A14">
        <f>Тарифы!A8</f>
        <v/>
      </c>
      <c r="B14" s="3">
        <f>($F$10*Тарифы!B8+$F$11*Тарифы!C8)/1000000*Тарифы!$B$16</f>
        <v/>
      </c>
      <c r="C14" s="3">
        <f>B14*12</f>
        <v/>
      </c>
    </row>
    <row r="16">
      <c r="A16" t="inlineStr">
        <is>
          <t>Что НЕ вошло: разработка, хостинг (Vercel/сервер), база данных, WB API, фото-обработка, веб-поиск для дайджеста, повторные запуски и тестирование.</t>
        </is>
      </c>
    </row>
    <row r="17">
      <c r="A17" t="inlineStr">
        <is>
          <t>Допущения (жёлтые ячейки на листах) нужно уточнить: число прайсов в месяц, размер файлов, доля новых форматов, выбор модели.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70" customWidth="1" min="3" max="3"/>
  </cols>
  <sheetData>
    <row r="1">
      <c r="A1" s="1" t="inlineStr">
        <is>
          <t>Тарифы Claude API, $ за 1 млн токенов</t>
        </is>
      </c>
    </row>
    <row r="2">
      <c r="A2" t="inlineStr">
        <is>
          <t>Источник: справочник Claude API (цены на 2026-09-25). Перед показом сверить с актуальным прайсом Anthropic.</t>
        </is>
      </c>
    </row>
    <row r="4">
      <c r="A4" s="2" t="inlineStr">
        <is>
          <t>Модель</t>
        </is>
      </c>
      <c r="B4" s="2" t="inlineStr">
        <is>
          <t>Вход, $/1М</t>
        </is>
      </c>
      <c r="C4" s="2" t="inlineStr">
        <is>
          <t>Выход, $/1М</t>
        </is>
      </c>
    </row>
    <row r="5">
      <c r="A5" t="inlineStr">
        <is>
          <t>Haiku 4.5</t>
        </is>
      </c>
      <c r="B5" t="n">
        <v>1</v>
      </c>
      <c r="C5" t="n">
        <v>5</v>
      </c>
    </row>
    <row r="6">
      <c r="A6" t="inlineStr">
        <is>
          <t>Sonnet 5.5</t>
        </is>
      </c>
      <c r="B6" t="n">
        <v>2</v>
      </c>
      <c r="C6" t="n">
        <v>10</v>
      </c>
    </row>
    <row r="7">
      <c r="A7" t="inlineStr">
        <is>
          <t>Opus 5.5</t>
        </is>
      </c>
      <c r="B7" t="n">
        <v>4</v>
      </c>
      <c r="C7" t="n">
        <v>20</v>
      </c>
    </row>
    <row r="8">
      <c r="A8" t="inlineStr">
        <is>
          <t>Fable 5.1</t>
        </is>
      </c>
      <c r="B8" t="n">
        <v>10</v>
      </c>
      <c r="C8" t="n">
        <v>50</v>
      </c>
    </row>
    <row r="10">
      <c r="A10" t="inlineStr">
        <is>
          <t>Выбранная модель для расчёта</t>
        </is>
      </c>
      <c r="B10" s="7" t="inlineStr">
        <is>
          <t>Sonnet 5.5</t>
        </is>
      </c>
      <c r="C10" t="inlineStr">
        <is>
          <t>← выберите из списка выше (Haiku 4.5 / Sonnet 5.5 / Opus 5.5 / Fable 5.1)</t>
        </is>
      </c>
    </row>
    <row r="11">
      <c r="A11" t="inlineStr">
        <is>
          <t>Цена входа выбранной модели, $/1М</t>
        </is>
      </c>
      <c r="B11">
        <f>INDEX(B5:B8,MATCH(B10,A5:A8,0))</f>
        <v/>
      </c>
    </row>
    <row r="12">
      <c r="A12" t="inlineStr">
        <is>
          <t>Цена выхода выбранной модели, $/1М</t>
        </is>
      </c>
      <c r="B12">
        <f>INDEX(C5:C8,MATCH(B10,A5:A8,0))</f>
        <v/>
      </c>
    </row>
    <row r="14">
      <c r="A14" t="inlineStr">
        <is>
          <t>Скидка Batch API (асинхронная обработка, несрочные задачи)</t>
        </is>
      </c>
      <c r="B14" s="7" t="n">
        <v>0.5</v>
      </c>
      <c r="C14" t="inlineStr">
        <is>
          <t>доля от обычной цены: 0,5 = −50%</t>
        </is>
      </c>
    </row>
    <row r="15">
      <c r="A15" t="inlineStr">
        <is>
          <t>Использовать Batch API? (1 — да, 0 — нет)</t>
        </is>
      </c>
      <c r="B15" s="7" t="n">
        <v>0</v>
      </c>
    </row>
    <row r="16">
      <c r="A16" t="inlineStr">
        <is>
          <t>Множитель цены</t>
        </is>
      </c>
      <c r="B16">
        <f>IF(B15=1,B14,1)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8" customWidth="1" min="1" max="1"/>
    <col width="16" customWidth="1" min="2" max="2"/>
    <col width="16" customWidth="1" min="3" max="3"/>
    <col width="22" customWidth="1" min="4" max="4"/>
    <col width="18" customWidth="1" min="5" max="5"/>
    <col width="16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Модуль «Закупки / Отборки»: стоимость Claude API</t>
        </is>
      </c>
    </row>
    <row r="2">
      <c r="A2" t="inlineStr">
        <is>
          <t>Решение «брать/не брать» принимают правила (бесплатно). Claude нужен для 3 вещей ниже. Токены — оценка, проверить на реальных прайсах (messages.count_tokens).</t>
        </is>
      </c>
    </row>
    <row r="3">
      <c r="A3" t="inlineStr">
        <is>
          <t>Файлов (прайсов) в месяц</t>
        </is>
      </c>
      <c r="B3" s="7" t="n">
        <v>50</v>
      </c>
    </row>
    <row r="4">
      <c r="A4" t="inlineStr">
        <is>
          <t>Позиций (строк) в среднем файле</t>
        </is>
      </c>
      <c r="B4" s="7" t="n">
        <v>50000</v>
      </c>
    </row>
    <row r="6">
      <c r="A6" s="2" t="inlineStr">
        <is>
          <t>Шаг</t>
        </is>
      </c>
      <c r="B6" s="2" t="inlineStr">
        <is>
          <t>Вход, токенов</t>
        </is>
      </c>
      <c r="C6" s="2" t="inlineStr">
        <is>
          <t>Выход, токенов</t>
        </is>
      </c>
      <c r="D6" s="2" t="inlineStr">
        <is>
          <t>Доля файлов, где нужен шаг</t>
        </is>
      </c>
      <c r="E6" s="2" t="inlineStr">
        <is>
          <t>Стоимость 1 вызова, $</t>
        </is>
      </c>
      <c r="F6" s="2" t="inlineStr">
        <is>
          <t>На 1 файл, $</t>
        </is>
      </c>
      <c r="G6" s="2" t="inlineStr">
        <is>
          <t>За месяц, $</t>
        </is>
      </c>
      <c r="H6" s="2" t="inlineStr">
        <is>
          <t>Вход за месяц, токенов</t>
        </is>
      </c>
      <c r="I6" s="2" t="inlineStr">
        <is>
          <t>Выход за месяц, токенов</t>
        </is>
      </c>
    </row>
    <row r="7">
      <c r="A7" t="inlineStr">
        <is>
          <t>1. Разбор нового формата прайса (какая колонка что значит) — только для новых поставщиков/форматов</t>
        </is>
      </c>
      <c r="B7" s="8" t="n">
        <v>6000</v>
      </c>
      <c r="C7" s="8" t="n">
        <v>1000</v>
      </c>
      <c r="D7" s="9" t="n">
        <v>0.1</v>
      </c>
      <c r="E7" s="10">
        <f>(B7*Тарифы!$B$11+C7*Тарифы!$B$12)/1000000*Тарифы!$B$16</f>
        <v/>
      </c>
      <c r="F7" s="10">
        <f>E7*D7</f>
        <v/>
      </c>
      <c r="G7" s="10">
        <f>F7*$B$3</f>
        <v/>
      </c>
      <c r="H7" s="6">
        <f>B7*D7*$B$3</f>
        <v/>
      </c>
      <c r="I7" s="6">
        <f>C7*D7*$B$3</f>
        <v/>
      </c>
    </row>
    <row r="8">
      <c r="A8" t="inlineStr">
        <is>
          <t>2. Сопоставление неизвестных категорий и названий со справочником (список справочника + уникальные значения)</t>
        </is>
      </c>
      <c r="B8" s="8" t="n">
        <v>18000</v>
      </c>
      <c r="C8" s="8" t="n">
        <v>2000</v>
      </c>
      <c r="D8" s="9" t="n">
        <v>1</v>
      </c>
      <c r="E8" s="10">
        <f>(B8*Тарифы!$B$11+C8*Тарифы!$B$12)/1000000*Тарифы!$B$16</f>
        <v/>
      </c>
      <c r="F8" s="10">
        <f>E8*D8</f>
        <v/>
      </c>
      <c r="G8" s="10">
        <f>F8*$B$3</f>
        <v/>
      </c>
      <c r="H8" s="6">
        <f>B8*D8*$B$3</f>
        <v/>
      </c>
      <c r="I8" s="6">
        <f>C8*D8*$B$3</f>
        <v/>
      </c>
    </row>
    <row r="9">
      <c r="A9" t="inlineStr">
        <is>
          <t>3. Текст «Почему» по группам товаров (не по каждой строке)</t>
        </is>
      </c>
      <c r="B9" s="8" t="n">
        <v>20000</v>
      </c>
      <c r="C9" s="8" t="n">
        <v>6000</v>
      </c>
      <c r="D9" s="9" t="n">
        <v>1</v>
      </c>
      <c r="E9" s="10">
        <f>(B9*Тарифы!$B$11+C9*Тарифы!$B$12)/1000000*Тарифы!$B$16</f>
        <v/>
      </c>
      <c r="F9" s="10">
        <f>E9*D9</f>
        <v/>
      </c>
      <c r="G9" s="10">
        <f>F9*$B$3</f>
        <v/>
      </c>
      <c r="H9" s="6">
        <f>B9*D9*$B$3</f>
        <v/>
      </c>
      <c r="I9" s="6">
        <f>C9*D9*$B$3</f>
        <v/>
      </c>
    </row>
    <row r="10">
      <c r="A10" s="4" t="inlineStr">
        <is>
          <t>ИТОГО Отборки</t>
        </is>
      </c>
      <c r="B10" s="6" t="n"/>
      <c r="C10" s="6" t="n"/>
      <c r="D10" s="11" t="n"/>
      <c r="E10" s="10" t="n"/>
      <c r="F10" s="12">
        <f>SUM(F7:F9)</f>
        <v/>
      </c>
      <c r="G10" s="12">
        <f>SUM(G7:G9)</f>
        <v/>
      </c>
      <c r="H10" s="13">
        <f>SUM(H7:H9)</f>
        <v/>
      </c>
      <c r="I10" s="13">
        <f>SUM(I7:I9)</f>
        <v/>
      </c>
    </row>
    <row r="12">
      <c r="A12" s="4" t="inlineStr">
        <is>
          <t>Для сравнения: «Почему» на КАЖДУЮ строку вместо групп (дороже, не рекомендуется)</t>
        </is>
      </c>
    </row>
    <row r="13">
      <c r="A13" t="inlineStr">
        <is>
          <t>Вход на строку, токенов</t>
        </is>
      </c>
      <c r="B13" s="7" t="n">
        <v>150</v>
      </c>
    </row>
    <row r="14">
      <c r="A14" t="inlineStr">
        <is>
          <t>Выход на строку, токенов</t>
        </is>
      </c>
      <c r="B14" s="7" t="n">
        <v>60</v>
      </c>
    </row>
    <row r="15">
      <c r="A15" t="inlineStr">
        <is>
          <t>Стоимость одного файла при «Почему» по каждой строке, $</t>
        </is>
      </c>
      <c r="B15" s="3">
        <f>$B$4*(B13*Тарифы!$B$11+B14*Тарифы!$B$12)/1000000*Тарифы!$B$16</f>
        <v/>
      </c>
    </row>
    <row r="16">
      <c r="A16" t="inlineStr">
        <is>
          <t>Во сколько раз дороже, чем по группам (шаг 3)</t>
        </is>
      </c>
      <c r="B16" s="14">
        <f>B15/E9</f>
        <v/>
      </c>
    </row>
    <row r="18">
      <c r="A18" s="4" t="inlineStr">
        <is>
          <t>Сценарии по числу файлов в месяц (выбранная модель)</t>
        </is>
      </c>
    </row>
    <row r="19">
      <c r="A19" s="2" t="inlineStr">
        <is>
          <t>Сценарий</t>
        </is>
      </c>
      <c r="B19" s="2" t="inlineStr">
        <is>
          <t>Файлов в месяц</t>
        </is>
      </c>
      <c r="C19" s="2" t="inlineStr">
        <is>
          <t>Стоимость в месяц, $</t>
        </is>
      </c>
      <c r="D19" s="2" t="inlineStr">
        <is>
          <t>Стоимость в год, $</t>
        </is>
      </c>
    </row>
    <row r="20">
      <c r="A20" t="inlineStr">
        <is>
          <t>Мало</t>
        </is>
      </c>
      <c r="B20" s="7" t="n">
        <v>20</v>
      </c>
      <c r="C20" s="3">
        <f>$F$10*B20</f>
        <v/>
      </c>
      <c r="D20" s="3">
        <f>C20*12</f>
        <v/>
      </c>
    </row>
    <row r="21">
      <c r="A21" t="inlineStr">
        <is>
          <t>Средне</t>
        </is>
      </c>
      <c r="B21" s="7" t="n">
        <v>60</v>
      </c>
      <c r="C21" s="3">
        <f>$F$10*B21</f>
        <v/>
      </c>
      <c r="D21" s="3">
        <f>C21*12</f>
        <v/>
      </c>
    </row>
    <row r="22">
      <c r="A22" t="inlineStr">
        <is>
          <t>Много</t>
        </is>
      </c>
      <c r="B22" s="7" t="n">
        <v>150</v>
      </c>
      <c r="C22" s="3">
        <f>$F$10*B22</f>
        <v/>
      </c>
      <c r="D22" s="3">
        <f>C22*12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2" customWidth="1" min="3" max="3"/>
    <col width="22" customWidth="1" min="4" max="4"/>
    <col width="16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Остальные модули (ориентировочно, модулей ещё нет — допущения)</t>
        </is>
      </c>
    </row>
    <row r="2">
      <c r="A2" t="inlineStr">
        <is>
          <t>Фото и веб-поиск в расчёт НЕ включены: стоимость токенов изображений и инструмента поиска нужно проверить отдельно.</t>
        </is>
      </c>
    </row>
    <row r="4">
      <c r="A4" s="2" t="inlineStr">
        <is>
          <t>Модуль / параметр</t>
        </is>
      </c>
      <c r="B4" s="2" t="inlineStr">
        <is>
          <t>Значение</t>
        </is>
      </c>
      <c r="C4" s="2" t="inlineStr">
        <is>
          <t>Вход, токенов на вызов</t>
        </is>
      </c>
      <c r="D4" s="2" t="inlineStr">
        <is>
          <t>Выход, токенов на вызов</t>
        </is>
      </c>
      <c r="E4" s="2" t="inlineStr">
        <is>
          <t>Вызовов в месяц</t>
        </is>
      </c>
      <c r="F4" s="2" t="inlineStr">
        <is>
          <t>Стоимость в месяц, $</t>
        </is>
      </c>
      <c r="G4" s="2" t="inlineStr">
        <is>
          <t>Вход за месяц, токенов</t>
        </is>
      </c>
      <c r="H4" s="2" t="inlineStr">
        <is>
          <t>Выход за месяц, токенов</t>
        </is>
      </c>
    </row>
    <row r="5">
      <c r="A5" t="inlineStr">
        <is>
          <t>WB-карточки: описание и SEO (вызов = 1 карточка; карточек в месяц — в колонке E)</t>
        </is>
      </c>
      <c r="C5" s="8" t="n">
        <v>1500</v>
      </c>
      <c r="D5" s="8" t="n">
        <v>600</v>
      </c>
      <c r="E5" s="8" t="n">
        <v>2000</v>
      </c>
      <c r="F5" s="3">
        <f>E5*(C5*Тарифы!$B$11+D5*Тарифы!$B$12)/1000000*Тарифы!$B$16</f>
        <v/>
      </c>
      <c r="G5" s="6">
        <f>E5*C5</f>
        <v/>
      </c>
      <c r="H5" s="6">
        <f>E5*D5</f>
        <v/>
      </c>
    </row>
    <row r="6">
      <c r="A6" t="inlineStr">
        <is>
          <t>Аналитика / дайджест: сводка по категории (категорий — в колонке B)</t>
        </is>
      </c>
      <c r="B6" s="7" t="n">
        <v>10</v>
      </c>
      <c r="C6" s="8" t="n">
        <v>30000</v>
      </c>
      <c r="D6" s="8" t="n">
        <v>3000</v>
      </c>
      <c r="E6" s="6">
        <f>B6*B7</f>
        <v/>
      </c>
      <c r="F6" s="3">
        <f>E6*(C6*Тарифы!$B$11+D6*Тарифы!$B$12)/1000000*Тарифы!$B$16</f>
        <v/>
      </c>
      <c r="G6" s="6">
        <f>E6*C6</f>
        <v/>
      </c>
      <c r="H6" s="6">
        <f>E6*D6</f>
        <v/>
      </c>
    </row>
    <row r="7">
      <c r="A7" t="inlineStr">
        <is>
          <t xml:space="preserve">   запусков дайджеста в месяц</t>
        </is>
      </c>
      <c r="B7" s="7" t="n">
        <v>4</v>
      </c>
    </row>
    <row r="8">
      <c r="A8" t="inlineStr">
        <is>
          <t>Ценообразование: рекомендация по категории (категорий — в колонке B)</t>
        </is>
      </c>
      <c r="B8" s="7" t="n">
        <v>10</v>
      </c>
      <c r="C8" s="8" t="n">
        <v>10000</v>
      </c>
      <c r="D8" s="8" t="n">
        <v>1500</v>
      </c>
      <c r="E8" s="6">
        <f>B8*B9</f>
        <v/>
      </c>
      <c r="F8" s="3">
        <f>E8*(C8*Тарифы!$B$11+D8*Тарифы!$B$12)/1000000*Тарифы!$B$16</f>
        <v/>
      </c>
      <c r="G8" s="6">
        <f>E8*C8</f>
        <v/>
      </c>
      <c r="H8" s="6">
        <f>E8*D8</f>
        <v/>
      </c>
    </row>
    <row r="9">
      <c r="A9" t="inlineStr">
        <is>
          <t xml:space="preserve">   запусков в месяц</t>
        </is>
      </c>
      <c r="B9" s="7" t="n">
        <v>4</v>
      </c>
    </row>
    <row r="10">
      <c r="A10" s="4" t="inlineStr">
        <is>
          <t>ИТОГО другие модули</t>
        </is>
      </c>
      <c r="C10" s="6" t="n"/>
      <c r="D10" s="6" t="n"/>
      <c r="E10" s="6" t="n"/>
      <c r="F10" s="5">
        <f>F5+F6+F8</f>
        <v/>
      </c>
      <c r="G10" s="13">
        <f>G5+G6+G8</f>
        <v/>
      </c>
      <c r="H10" s="13">
        <f>H5+H6+H8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2026-10-07T12:46:28Z</dcterms:created>
  <dcterms:modified xmlns:dcterms="http://purl.org/dc/terms/" xmlns:xsi="http://www.w3.org/2001/XMLSchema-instance" xsi:type="dcterms:W3CDTF">2026-10-07T12:46:28Z</dcterms:modified>
</cp:coreProperties>
</file>